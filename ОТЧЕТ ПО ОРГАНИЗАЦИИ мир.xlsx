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32760" yWindow="32760" windowWidth="29040" windowHeight="15840"/>
  </bookViews>
  <sheets>
    <sheet name="Лист1" sheetId="6" r:id="rId1"/>
  </sheets>
  <calcPr calcId="145621" refMode="R1C1"/>
</workbook>
</file>

<file path=xl/calcChain.xml><?xml version="1.0" encoding="utf-8"?>
<calcChain xmlns="http://schemas.openxmlformats.org/spreadsheetml/2006/main">
  <c r="H20" i="6" l="1"/>
  <c r="H21" i="6"/>
  <c r="H25" i="6"/>
  <c r="H29" i="6"/>
  <c r="H33" i="6"/>
  <c r="H37" i="6"/>
  <c r="H41" i="6"/>
  <c r="H44" i="6"/>
  <c r="H45" i="6"/>
  <c r="H18" i="6"/>
  <c r="H43" i="6"/>
  <c r="H36" i="6"/>
  <c r="H32" i="6"/>
  <c r="H31" i="6"/>
  <c r="H24" i="6"/>
  <c r="F15" i="6"/>
  <c r="E17" i="6"/>
  <c r="F17" i="6"/>
  <c r="D17" i="6"/>
  <c r="H19" i="6"/>
  <c r="H22" i="6"/>
  <c r="H23" i="6"/>
  <c r="H26" i="6"/>
  <c r="H27" i="6"/>
  <c r="H28" i="6"/>
  <c r="H30" i="6"/>
  <c r="H34" i="6"/>
  <c r="H35" i="6"/>
  <c r="H38" i="6"/>
  <c r="H39" i="6"/>
  <c r="H40" i="6"/>
  <c r="H42" i="6"/>
  <c r="E8" i="6"/>
  <c r="E11" i="6" s="1"/>
  <c r="E15" i="6"/>
  <c r="H6" i="6"/>
  <c r="H7" i="6"/>
  <c r="H10" i="6"/>
  <c r="H12" i="6"/>
  <c r="H14" i="6"/>
  <c r="H16" i="6"/>
  <c r="G15" i="6"/>
  <c r="G8" i="6"/>
  <c r="G11" i="6" s="1"/>
  <c r="F8" i="6"/>
  <c r="D15" i="6"/>
  <c r="H15" i="6" s="1"/>
  <c r="D8" i="6"/>
  <c r="F11" i="6"/>
  <c r="F9" i="6"/>
  <c r="D11" i="6"/>
  <c r="D5" i="6" s="1"/>
  <c r="F5" i="6"/>
  <c r="H17" i="6"/>
  <c r="G17" i="6"/>
  <c r="F4" i="6"/>
  <c r="G9" i="6" l="1"/>
  <c r="G4" i="6"/>
  <c r="E5" i="6"/>
  <c r="H5" i="6" s="1"/>
  <c r="H11" i="6"/>
  <c r="E4" i="6"/>
  <c r="E9" i="6"/>
  <c r="G5" i="6"/>
  <c r="H8" i="6"/>
  <c r="H13" i="6" s="1"/>
  <c r="D9" i="6"/>
  <c r="H9" i="6" s="1"/>
  <c r="D4" i="6"/>
  <c r="H4" i="6" s="1"/>
</calcChain>
</file>

<file path=xl/sharedStrings.xml><?xml version="1.0" encoding="utf-8"?>
<sst xmlns="http://schemas.openxmlformats.org/spreadsheetml/2006/main" count="48" uniqueCount="44">
  <si>
    <t>МИРСТРОЙМАРКЕТ</t>
  </si>
  <si>
    <t>аренда</t>
  </si>
  <si>
    <t>бензин</t>
  </si>
  <si>
    <t>фзн</t>
  </si>
  <si>
    <t>товары</t>
  </si>
  <si>
    <t>2кв</t>
  </si>
  <si>
    <t>инвест.вычет</t>
  </si>
  <si>
    <t>3кв</t>
  </si>
  <si>
    <t>4кв</t>
  </si>
  <si>
    <t>амортизация</t>
  </si>
  <si>
    <t>авто обслуживание</t>
  </si>
  <si>
    <t>транспортные услуги</t>
  </si>
  <si>
    <t>фонд з/пл</t>
  </si>
  <si>
    <t>комунальные услуги</t>
  </si>
  <si>
    <t>обслуживание комп.</t>
  </si>
  <si>
    <t>телефон интернет</t>
  </si>
  <si>
    <t>услуги банка</t>
  </si>
  <si>
    <t>электронные ключи</t>
  </si>
  <si>
    <t>списание товара</t>
  </si>
  <si>
    <t>Выручка по отчетам ККМ</t>
  </si>
  <si>
    <t>Завадский (1С)</t>
  </si>
  <si>
    <t>услуги больница</t>
  </si>
  <si>
    <t>Входящий НДС</t>
  </si>
  <si>
    <t>Товары реализация без НДС</t>
  </si>
  <si>
    <t>Забелла лицензия</t>
  </si>
  <si>
    <t>обс.КСА (Забелла)</t>
  </si>
  <si>
    <t>обслуж.терм. (Туссон)</t>
  </si>
  <si>
    <t>обсл.кассы (МИКС)</t>
  </si>
  <si>
    <t>ТН</t>
  </si>
  <si>
    <t>Входящий НДС с вычетом</t>
  </si>
  <si>
    <t>Налог на прибыль</t>
  </si>
  <si>
    <t>Реализация (Накладные)</t>
  </si>
  <si>
    <t>НДС Реализация (Накладные)</t>
  </si>
  <si>
    <t>Итого выручка</t>
  </si>
  <si>
    <t>Итого</t>
  </si>
  <si>
    <t>НДС Выручка по отчетам ККМ</t>
  </si>
  <si>
    <t>Итого НДС</t>
  </si>
  <si>
    <t>Налог НДС</t>
  </si>
  <si>
    <t>Вычет по товарам без НДС</t>
  </si>
  <si>
    <t>1кв</t>
  </si>
  <si>
    <t>Себестоимость реализация</t>
  </si>
  <si>
    <t>Себестоимость затрат</t>
  </si>
  <si>
    <t>обслуж.эл.тг эрспектр</t>
  </si>
  <si>
    <t>журнал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</si>
</sst>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34">
    <xf numFmtId="0" fontId="0" fillId="0" borderId="0" xfId="0"/>
    <xf numFmtId="4" fontId="0" fillId="0" borderId="0" xfId="0" applyNumberFormat="1"/>
    <xf numFmtId="4" fontId="2" fillId="2" borderId="1" xfId="0" applyNumberFormat="1" applyFont="1" applyFill="1" applyBorder="1"/>
    <xf numFmtId="4" fontId="2" fillId="2" borderId="2" xfId="0" applyNumberFormat="1" applyFont="1" applyFill="1" applyBorder="1"/>
    <xf numFmtId="4" fontId="2" fillId="2" borderId="3" xfId="0" applyNumberFormat="1" applyFont="1" applyFill="1" applyBorder="1"/>
    <xf numFmtId="4" fontId="0" fillId="2" borderId="6" xfId="0" applyNumberFormat="1" applyFill="1" applyBorder="1"/>
    <xf numFmtId="4" fontId="2" fillId="3" borderId="6" xfId="0" applyNumberFormat="1" applyFont="1" applyFill="1" applyBorder="1" applyAlignment="1">
      <alignment horizontal="right"/>
    </xf>
    <xf numFmtId="4" fontId="2" fillId="4" borderId="6" xfId="0" applyNumberFormat="1" applyFont="1" applyFill="1" applyBorder="1" applyAlignment="1">
      <alignment horizontal="right"/>
    </xf>
    <xf numFmtId="4" fontId="2" fillId="2" borderId="1" xfId="0" applyNumberFormat="1" applyFont="1" applyFill="1" applyBorder="1" applyAlignment="1">
      <alignment horizontal="right"/>
    </xf>
    <xf numFmtId="4" fontId="2" fillId="2" borderId="4" xfId="0" applyNumberFormat="1" applyFont="1" applyFill="1" applyBorder="1" applyAlignment="1">
      <alignment horizontal="right"/>
    </xf>
    <xf numFmtId="4" fontId="2" fillId="2" borderId="7" xfId="0" applyNumberFormat="1" applyFont="1" applyFill="1" applyBorder="1" applyAlignment="1">
      <alignment horizontal="right"/>
    </xf>
    <xf numFmtId="4" fontId="2" fillId="2" borderId="2" xfId="0" applyNumberFormat="1" applyFont="1" applyFill="1" applyBorder="1" applyAlignment="1">
      <alignment horizontal="right"/>
    </xf>
    <xf numFmtId="4" fontId="2" fillId="2" borderId="6" xfId="0" applyNumberFormat="1" applyFont="1" applyFill="1" applyBorder="1" applyAlignment="1">
      <alignment horizontal="right"/>
    </xf>
    <xf numFmtId="4" fontId="2" fillId="2" borderId="5" xfId="0" applyNumberFormat="1" applyFont="1" applyFill="1" applyBorder="1" applyAlignment="1">
      <alignment horizontal="right"/>
    </xf>
    <xf numFmtId="4" fontId="2" fillId="2" borderId="3" xfId="0" applyNumberFormat="1" applyFont="1" applyFill="1" applyBorder="1" applyAlignment="1">
      <alignment horizontal="right"/>
    </xf>
    <xf numFmtId="4" fontId="2" fillId="2" borderId="8" xfId="0" applyNumberFormat="1" applyFont="1" applyFill="1" applyBorder="1" applyAlignment="1">
      <alignment horizontal="right"/>
    </xf>
    <xf numFmtId="4" fontId="2" fillId="5" borderId="6" xfId="0" applyNumberFormat="1" applyFont="1" applyFill="1" applyBorder="1" applyAlignment="1">
      <alignment horizontal="right"/>
    </xf>
    <xf numFmtId="4" fontId="1" fillId="2" borderId="6" xfId="0" applyNumberFormat="1" applyFont="1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4" fontId="2" fillId="5" borderId="6" xfId="0" applyNumberFormat="1" applyFont="1" applyFill="1" applyBorder="1" applyAlignment="1"/>
    <xf numFmtId="4" fontId="2" fillId="4" borderId="6" xfId="0" applyNumberFormat="1" applyFont="1" applyFill="1" applyBorder="1" applyAlignment="1"/>
    <xf numFmtId="4" fontId="2" fillId="4" borderId="9" xfId="0" applyNumberFormat="1" applyFont="1" applyFill="1" applyBorder="1" applyAlignment="1"/>
    <xf numFmtId="4" fontId="2" fillId="4" borderId="10" xfId="0" applyNumberFormat="1" applyFont="1" applyFill="1" applyBorder="1" applyAlignment="1"/>
    <xf numFmtId="4" fontId="2" fillId="3" borderId="6" xfId="0" applyNumberFormat="1" applyFont="1" applyFill="1" applyBorder="1" applyAlignment="1"/>
    <xf numFmtId="0" fontId="3" fillId="7" borderId="11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4" fontId="2" fillId="3" borderId="9" xfId="0" applyNumberFormat="1" applyFont="1" applyFill="1" applyBorder="1" applyAlignment="1"/>
    <xf numFmtId="4" fontId="2" fillId="3" borderId="10" xfId="0" applyNumberFormat="1" applyFont="1" applyFill="1" applyBorder="1" applyAlignment="1"/>
    <xf numFmtId="4" fontId="2" fillId="4" borderId="9" xfId="0" applyNumberFormat="1" applyFont="1" applyFill="1" applyBorder="1" applyAlignment="1">
      <alignment horizontal="left"/>
    </xf>
    <xf numFmtId="4" fontId="2" fillId="4" borderId="10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3"/>
  <sheetViews>
    <sheetView tabSelected="1" topLeftCell="A10" zoomScaleNormal="100" workbookViewId="0">
      <selection activeCell="J28" sqref="J28"/>
    </sheetView>
  </sheetViews>
  <sheetFormatPr defaultRowHeight="15" x14ac:dyDescent="0.25"/>
  <cols>
    <col min="1" max="1" width="9.7109375" bestFit="1" customWidth="1"/>
    <col min="2" max="2" width="30.7109375" customWidth="1"/>
    <col min="3" max="3" width="6.7109375" customWidth="1"/>
    <col min="4" max="8" width="12.7109375" customWidth="1"/>
    <col min="10" max="10" width="10" bestFit="1" customWidth="1"/>
  </cols>
  <sheetData>
    <row r="1" spans="2:11" ht="15.75" thickBot="1" x14ac:dyDescent="0.3"/>
    <row r="2" spans="2:11" ht="21.75" thickBot="1" x14ac:dyDescent="0.4">
      <c r="B2" s="27" t="s">
        <v>0</v>
      </c>
      <c r="C2" s="28"/>
      <c r="D2" s="28"/>
      <c r="E2" s="28"/>
      <c r="F2" s="28"/>
      <c r="G2" s="28"/>
      <c r="H2" s="29"/>
    </row>
    <row r="3" spans="2:11" x14ac:dyDescent="0.25">
      <c r="B3" s="21"/>
      <c r="C3" s="21"/>
      <c r="D3" s="20" t="s">
        <v>39</v>
      </c>
      <c r="E3" s="20" t="s">
        <v>5</v>
      </c>
      <c r="F3" s="20" t="s">
        <v>7</v>
      </c>
      <c r="G3" s="20" t="s">
        <v>8</v>
      </c>
      <c r="H3" s="20" t="s">
        <v>34</v>
      </c>
    </row>
    <row r="4" spans="2:11" ht="15.75" x14ac:dyDescent="0.25">
      <c r="B4" s="22" t="s">
        <v>37</v>
      </c>
      <c r="C4" s="22"/>
      <c r="D4" s="16">
        <f>D11-D15</f>
        <v>7858.0733333333337</v>
      </c>
      <c r="E4" s="16">
        <f>E11-E15</f>
        <v>12384.12000000001</v>
      </c>
      <c r="F4" s="16">
        <f>F11-F15</f>
        <v>36759.559999999954</v>
      </c>
      <c r="G4" s="16">
        <f>G11-G15</f>
        <v>0</v>
      </c>
      <c r="H4" s="16">
        <f>D4+E4+F4+G4</f>
        <v>57001.753333333298</v>
      </c>
      <c r="J4" s="1"/>
    </row>
    <row r="5" spans="2:11" ht="15.75" x14ac:dyDescent="0.25">
      <c r="B5" s="22" t="s">
        <v>30</v>
      </c>
      <c r="C5" s="22"/>
      <c r="D5" s="16">
        <f>(D8-D11-D16-D17)*0.2</f>
        <v>546.1753333333312</v>
      </c>
      <c r="E5" s="16">
        <f>(E8-E11-E16-E17)*0.2</f>
        <v>11592.642</v>
      </c>
      <c r="F5" s="16">
        <f>(F8-F11-F16-F17)*0.2</f>
        <v>11201.84199999999</v>
      </c>
      <c r="G5" s="16">
        <f>(G8-G11-G16-G17)*0.2</f>
        <v>0</v>
      </c>
      <c r="H5" s="16">
        <f t="shared" ref="H5:H45" si="0">D5+E5+F5+G5</f>
        <v>23340.659333333322</v>
      </c>
      <c r="I5" s="1"/>
      <c r="K5" s="1"/>
    </row>
    <row r="6" spans="2:11" ht="15.75" x14ac:dyDescent="0.25">
      <c r="B6" s="24" t="s">
        <v>19</v>
      </c>
      <c r="C6" s="25"/>
      <c r="D6" s="7">
        <v>222089.52</v>
      </c>
      <c r="E6" s="7">
        <v>524274.57</v>
      </c>
      <c r="F6" s="7">
        <v>565032.51</v>
      </c>
      <c r="G6" s="7"/>
      <c r="H6" s="7">
        <f t="shared" si="0"/>
        <v>1311396.6000000001</v>
      </c>
    </row>
    <row r="7" spans="2:11" ht="15.75" x14ac:dyDescent="0.25">
      <c r="B7" s="24" t="s">
        <v>31</v>
      </c>
      <c r="C7" s="25"/>
      <c r="D7" s="7">
        <v>36733.919999999998</v>
      </c>
      <c r="E7" s="7">
        <v>61764.7</v>
      </c>
      <c r="F7" s="7">
        <v>58110.19</v>
      </c>
      <c r="G7" s="7"/>
      <c r="H7" s="7">
        <f t="shared" si="0"/>
        <v>156608.81</v>
      </c>
    </row>
    <row r="8" spans="2:11" ht="15.75" x14ac:dyDescent="0.25">
      <c r="B8" s="26" t="s">
        <v>33</v>
      </c>
      <c r="C8" s="26"/>
      <c r="D8" s="6">
        <f>D6+D7</f>
        <v>258823.44</v>
      </c>
      <c r="E8" s="6">
        <f>E6+E7</f>
        <v>586039.27</v>
      </c>
      <c r="F8" s="6">
        <f>F6+F7</f>
        <v>623142.69999999995</v>
      </c>
      <c r="G8" s="6">
        <f>G6+G7</f>
        <v>0</v>
      </c>
      <c r="H8" s="6">
        <f t="shared" si="0"/>
        <v>1468005.41</v>
      </c>
    </row>
    <row r="9" spans="2:11" ht="15.75" x14ac:dyDescent="0.25">
      <c r="B9" s="26" t="s">
        <v>35</v>
      </c>
      <c r="C9" s="26"/>
      <c r="D9" s="6">
        <f>D11-D10</f>
        <v>36052.653333333335</v>
      </c>
      <c r="E9" s="6">
        <f>E11-E10</f>
        <v>86105.13</v>
      </c>
      <c r="F9" s="6">
        <f>F11-F10</f>
        <v>92434.339999999953</v>
      </c>
      <c r="G9" s="6">
        <f>G11-G10</f>
        <v>0</v>
      </c>
      <c r="H9" s="6">
        <f t="shared" si="0"/>
        <v>214592.12333333329</v>
      </c>
    </row>
    <row r="10" spans="2:11" ht="18" customHeight="1" x14ac:dyDescent="0.25">
      <c r="B10" s="32" t="s">
        <v>32</v>
      </c>
      <c r="C10" s="33"/>
      <c r="D10" s="7">
        <v>5807.67</v>
      </c>
      <c r="E10" s="7">
        <v>10020.5</v>
      </c>
      <c r="F10" s="7">
        <v>9457.61</v>
      </c>
      <c r="G10" s="7"/>
      <c r="H10" s="7">
        <f t="shared" si="0"/>
        <v>25285.78</v>
      </c>
    </row>
    <row r="11" spans="2:11" ht="15.75" x14ac:dyDescent="0.25">
      <c r="B11" s="30" t="s">
        <v>36</v>
      </c>
      <c r="C11" s="31"/>
      <c r="D11" s="6">
        <f>D8-D12-(D8-D12)/1.2</f>
        <v>41860.323333333334</v>
      </c>
      <c r="E11" s="6">
        <f>E8-E12-(E8-E12)/1.2</f>
        <v>96125.63</v>
      </c>
      <c r="F11" s="6">
        <f>F8-F12-(F8-F12)/1.2</f>
        <v>101891.94999999995</v>
      </c>
      <c r="G11" s="6">
        <f>G8-G12-(G8-G12)/1.2</f>
        <v>0</v>
      </c>
      <c r="H11" s="6">
        <f t="shared" si="0"/>
        <v>239877.90333333329</v>
      </c>
    </row>
    <row r="12" spans="2:11" ht="15.75" x14ac:dyDescent="0.25">
      <c r="B12" s="23" t="s">
        <v>23</v>
      </c>
      <c r="C12" s="23"/>
      <c r="D12" s="7">
        <v>7661.5</v>
      </c>
      <c r="E12" s="7">
        <v>9285.49</v>
      </c>
      <c r="F12" s="7">
        <v>11791</v>
      </c>
      <c r="G12" s="7"/>
      <c r="H12" s="7">
        <f t="shared" si="0"/>
        <v>28737.989999999998</v>
      </c>
    </row>
    <row r="13" spans="2:11" ht="15.75" x14ac:dyDescent="0.25">
      <c r="B13" s="23" t="s">
        <v>38</v>
      </c>
      <c r="C13" s="23"/>
      <c r="D13" s="7">
        <v>1037.21</v>
      </c>
      <c r="E13" s="7">
        <v>1372.94</v>
      </c>
      <c r="F13" s="7">
        <v>1241.3599999999999</v>
      </c>
      <c r="G13" s="7"/>
      <c r="H13" s="6">
        <f>H12/H8*H14</f>
        <v>3651.5056356661521</v>
      </c>
      <c r="I13" s="1"/>
    </row>
    <row r="14" spans="2:11" ht="15.75" x14ac:dyDescent="0.25">
      <c r="B14" s="23" t="s">
        <v>22</v>
      </c>
      <c r="C14" s="23"/>
      <c r="D14" s="7">
        <v>35039.46</v>
      </c>
      <c r="E14" s="7">
        <v>85114.45</v>
      </c>
      <c r="F14" s="7">
        <v>66373.75</v>
      </c>
      <c r="G14" s="7"/>
      <c r="H14" s="7">
        <f t="shared" si="0"/>
        <v>186527.66</v>
      </c>
    </row>
    <row r="15" spans="2:11" ht="15.75" x14ac:dyDescent="0.25">
      <c r="B15" s="26" t="s">
        <v>29</v>
      </c>
      <c r="C15" s="26"/>
      <c r="D15" s="6">
        <f>D14-D13</f>
        <v>34002.25</v>
      </c>
      <c r="E15" s="6">
        <f>E14-E13</f>
        <v>83741.509999999995</v>
      </c>
      <c r="F15" s="6">
        <f>F14-F13</f>
        <v>65132.39</v>
      </c>
      <c r="G15" s="6">
        <f>G14-G13</f>
        <v>0</v>
      </c>
      <c r="H15" s="6">
        <f t="shared" si="0"/>
        <v>182876.15</v>
      </c>
    </row>
    <row r="16" spans="2:11" ht="15.75" x14ac:dyDescent="0.25">
      <c r="B16" s="23" t="s">
        <v>40</v>
      </c>
      <c r="C16" s="23"/>
      <c r="D16" s="7">
        <v>152812.9</v>
      </c>
      <c r="E16" s="7">
        <v>344951.64</v>
      </c>
      <c r="F16" s="7">
        <v>368269.77</v>
      </c>
      <c r="G16" s="7"/>
      <c r="H16" s="7">
        <f t="shared" si="0"/>
        <v>866034.31</v>
      </c>
    </row>
    <row r="17" spans="2:8" ht="15.75" x14ac:dyDescent="0.25">
      <c r="B17" s="26" t="s">
        <v>41</v>
      </c>
      <c r="C17" s="26"/>
      <c r="D17" s="6">
        <f>SUM(D18:D53)</f>
        <v>61419.340000000018</v>
      </c>
      <c r="E17" s="6">
        <f>SUM(E18:E53)</f>
        <v>86998.790000000008</v>
      </c>
      <c r="F17" s="6">
        <f>SUM(F18:F53)</f>
        <v>96971.770000000033</v>
      </c>
      <c r="G17" s="6">
        <f>SUM(G18:G53)</f>
        <v>0</v>
      </c>
      <c r="H17" s="6">
        <f>SUM(H18:H53)</f>
        <v>245389.9</v>
      </c>
    </row>
    <row r="18" spans="2:8" ht="15.75" x14ac:dyDescent="0.25">
      <c r="B18" s="2" t="s">
        <v>12</v>
      </c>
      <c r="C18" s="18">
        <v>0</v>
      </c>
      <c r="D18" s="8">
        <v>32789.980000000003</v>
      </c>
      <c r="E18" s="8">
        <v>43329.24</v>
      </c>
      <c r="F18" s="8">
        <v>44803.28</v>
      </c>
      <c r="G18" s="9"/>
      <c r="H18" s="10">
        <f t="shared" si="0"/>
        <v>120922.5</v>
      </c>
    </row>
    <row r="19" spans="2:8" ht="15.75" x14ac:dyDescent="0.25">
      <c r="B19" s="3" t="s">
        <v>3</v>
      </c>
      <c r="C19" s="19">
        <v>0</v>
      </c>
      <c r="D19" s="11">
        <v>11148.59</v>
      </c>
      <c r="E19" s="11">
        <v>15165.15</v>
      </c>
      <c r="F19" s="11">
        <v>15681.15</v>
      </c>
      <c r="G19" s="9"/>
      <c r="H19" s="12">
        <f t="shared" si="0"/>
        <v>41994.89</v>
      </c>
    </row>
    <row r="20" spans="2:8" ht="15.75" x14ac:dyDescent="0.25">
      <c r="B20" s="3" t="s">
        <v>2</v>
      </c>
      <c r="C20" s="19">
        <v>20</v>
      </c>
      <c r="D20" s="11">
        <v>1340.01</v>
      </c>
      <c r="E20" s="11">
        <v>1408.94</v>
      </c>
      <c r="F20" s="11">
        <v>1124.48</v>
      </c>
      <c r="G20" s="9"/>
      <c r="H20" s="12">
        <f t="shared" si="0"/>
        <v>3873.43</v>
      </c>
    </row>
    <row r="21" spans="2:8" ht="15.75" x14ac:dyDescent="0.25">
      <c r="B21" s="3" t="s">
        <v>9</v>
      </c>
      <c r="C21" s="19">
        <v>0</v>
      </c>
      <c r="D21" s="11">
        <v>0</v>
      </c>
      <c r="E21" s="11">
        <v>407.41</v>
      </c>
      <c r="F21" s="11">
        <v>1222.23</v>
      </c>
      <c r="G21" s="9"/>
      <c r="H21" s="12">
        <f t="shared" si="0"/>
        <v>1629.64</v>
      </c>
    </row>
    <row r="22" spans="2:8" ht="15.75" x14ac:dyDescent="0.25">
      <c r="B22" s="3" t="s">
        <v>10</v>
      </c>
      <c r="C22" s="19">
        <v>20</v>
      </c>
      <c r="D22" s="11">
        <v>0</v>
      </c>
      <c r="E22" s="13">
        <v>0</v>
      </c>
      <c r="F22" s="13">
        <v>0</v>
      </c>
      <c r="G22" s="9"/>
      <c r="H22" s="12">
        <f t="shared" si="0"/>
        <v>0</v>
      </c>
    </row>
    <row r="23" spans="2:8" ht="15.75" x14ac:dyDescent="0.25">
      <c r="B23" s="3" t="s">
        <v>1</v>
      </c>
      <c r="C23" s="19">
        <v>0</v>
      </c>
      <c r="D23" s="11">
        <v>4037.76</v>
      </c>
      <c r="E23" s="11">
        <v>4037.76</v>
      </c>
      <c r="F23" s="11">
        <v>4037.76</v>
      </c>
      <c r="G23" s="9"/>
      <c r="H23" s="12">
        <f t="shared" si="0"/>
        <v>12113.28</v>
      </c>
    </row>
    <row r="24" spans="2:8" ht="15.75" x14ac:dyDescent="0.25">
      <c r="B24" s="3" t="s">
        <v>13</v>
      </c>
      <c r="C24" s="19">
        <v>20</v>
      </c>
      <c r="D24" s="11">
        <v>2687.41</v>
      </c>
      <c r="E24" s="11">
        <v>2255.6</v>
      </c>
      <c r="F24" s="11">
        <v>2411.6999999999998</v>
      </c>
      <c r="G24" s="9"/>
      <c r="H24" s="12">
        <f t="shared" si="0"/>
        <v>7354.71</v>
      </c>
    </row>
    <row r="25" spans="2:8" ht="15.75" x14ac:dyDescent="0.25">
      <c r="B25" s="3" t="s">
        <v>13</v>
      </c>
      <c r="C25" s="19">
        <v>0</v>
      </c>
      <c r="D25" s="11">
        <v>1441.08</v>
      </c>
      <c r="E25" s="11">
        <v>1559.27</v>
      </c>
      <c r="F25" s="11">
        <v>1340.31</v>
      </c>
      <c r="G25" s="9"/>
      <c r="H25" s="12">
        <f t="shared" si="0"/>
        <v>4340.66</v>
      </c>
    </row>
    <row r="26" spans="2:8" ht="15.75" x14ac:dyDescent="0.25">
      <c r="B26" s="3" t="s">
        <v>11</v>
      </c>
      <c r="C26" s="19">
        <v>20</v>
      </c>
      <c r="D26" s="11">
        <v>125</v>
      </c>
      <c r="E26" s="11">
        <v>1660</v>
      </c>
      <c r="F26" s="11">
        <v>1085</v>
      </c>
      <c r="G26" s="9"/>
      <c r="H26" s="12">
        <f t="shared" si="0"/>
        <v>2870</v>
      </c>
    </row>
    <row r="27" spans="2:8" ht="15.75" x14ac:dyDescent="0.25">
      <c r="B27" s="3" t="s">
        <v>11</v>
      </c>
      <c r="C27" s="19">
        <v>0</v>
      </c>
      <c r="D27" s="11">
        <v>800</v>
      </c>
      <c r="E27" s="11">
        <v>4960</v>
      </c>
      <c r="F27" s="11">
        <v>4250</v>
      </c>
      <c r="G27" s="9"/>
      <c r="H27" s="12">
        <f t="shared" si="0"/>
        <v>10010</v>
      </c>
    </row>
    <row r="28" spans="2:8" ht="15.75" x14ac:dyDescent="0.25">
      <c r="B28" s="3" t="s">
        <v>14</v>
      </c>
      <c r="C28" s="19">
        <v>0</v>
      </c>
      <c r="D28" s="11">
        <v>900</v>
      </c>
      <c r="E28" s="11">
        <v>900</v>
      </c>
      <c r="F28" s="11">
        <v>900</v>
      </c>
      <c r="G28" s="9"/>
      <c r="H28" s="12">
        <f t="shared" si="0"/>
        <v>2700</v>
      </c>
    </row>
    <row r="29" spans="2:8" ht="15.75" x14ac:dyDescent="0.25">
      <c r="B29" s="3" t="s">
        <v>15</v>
      </c>
      <c r="C29" s="19">
        <v>25</v>
      </c>
      <c r="D29" s="11">
        <v>199</v>
      </c>
      <c r="E29" s="11">
        <v>194.35</v>
      </c>
      <c r="F29" s="11">
        <v>191.88</v>
      </c>
      <c r="G29" s="9"/>
      <c r="H29" s="12">
        <f t="shared" si="0"/>
        <v>585.23</v>
      </c>
    </row>
    <row r="30" spans="2:8" ht="15.75" x14ac:dyDescent="0.25">
      <c r="B30" s="3" t="s">
        <v>16</v>
      </c>
      <c r="C30" s="19">
        <v>0</v>
      </c>
      <c r="D30" s="11">
        <v>2203.94</v>
      </c>
      <c r="E30" s="11">
        <v>5186.01</v>
      </c>
      <c r="F30" s="11">
        <v>5943.07</v>
      </c>
      <c r="G30" s="9"/>
      <c r="H30" s="12">
        <f t="shared" si="0"/>
        <v>13333.02</v>
      </c>
    </row>
    <row r="31" spans="2:8" ht="15.75" x14ac:dyDescent="0.25">
      <c r="B31" s="3" t="s">
        <v>27</v>
      </c>
      <c r="C31" s="19">
        <v>20</v>
      </c>
      <c r="D31" s="11">
        <v>210</v>
      </c>
      <c r="E31" s="11">
        <v>210</v>
      </c>
      <c r="F31" s="11">
        <v>210</v>
      </c>
      <c r="G31" s="9"/>
      <c r="H31" s="12">
        <f t="shared" si="0"/>
        <v>630</v>
      </c>
    </row>
    <row r="32" spans="2:8" ht="15.75" x14ac:dyDescent="0.25">
      <c r="B32" s="3" t="s">
        <v>25</v>
      </c>
      <c r="C32" s="19">
        <v>20</v>
      </c>
      <c r="D32" s="11">
        <v>192</v>
      </c>
      <c r="E32" s="11">
        <v>192</v>
      </c>
      <c r="F32" s="11">
        <v>192</v>
      </c>
      <c r="G32" s="9"/>
      <c r="H32" s="12">
        <f t="shared" si="0"/>
        <v>576</v>
      </c>
    </row>
    <row r="33" spans="2:8" ht="15.75" x14ac:dyDescent="0.25">
      <c r="B33" s="3" t="s">
        <v>17</v>
      </c>
      <c r="C33" s="19">
        <v>20</v>
      </c>
      <c r="D33" s="11">
        <v>0</v>
      </c>
      <c r="E33" s="11">
        <v>0</v>
      </c>
      <c r="F33" s="11">
        <v>0</v>
      </c>
      <c r="G33" s="9"/>
      <c r="H33" s="12">
        <f t="shared" si="0"/>
        <v>0</v>
      </c>
    </row>
    <row r="34" spans="2:8" ht="15.75" x14ac:dyDescent="0.25">
      <c r="B34" s="3" t="s">
        <v>4</v>
      </c>
      <c r="C34" s="19">
        <v>20</v>
      </c>
      <c r="D34" s="11">
        <v>763.51</v>
      </c>
      <c r="E34" s="11">
        <v>675.26</v>
      </c>
      <c r="F34" s="11">
        <v>198.25</v>
      </c>
      <c r="G34" s="9"/>
      <c r="H34" s="12">
        <f t="shared" si="0"/>
        <v>1637.02</v>
      </c>
    </row>
    <row r="35" spans="2:8" ht="15.75" x14ac:dyDescent="0.25">
      <c r="B35" s="3" t="s">
        <v>4</v>
      </c>
      <c r="C35" s="19">
        <v>0</v>
      </c>
      <c r="D35" s="11">
        <v>0</v>
      </c>
      <c r="E35" s="11">
        <v>0</v>
      </c>
      <c r="F35" s="11">
        <v>0</v>
      </c>
      <c r="G35" s="9"/>
      <c r="H35" s="12">
        <f t="shared" si="0"/>
        <v>0</v>
      </c>
    </row>
    <row r="36" spans="2:8" ht="15.75" x14ac:dyDescent="0.25">
      <c r="B36" s="3" t="s">
        <v>18</v>
      </c>
      <c r="C36" s="19">
        <v>20</v>
      </c>
      <c r="D36" s="11">
        <v>433.81</v>
      </c>
      <c r="E36" s="11">
        <v>2807.8</v>
      </c>
      <c r="F36" s="11">
        <v>988.66</v>
      </c>
      <c r="G36" s="9"/>
      <c r="H36" s="12">
        <f t="shared" si="0"/>
        <v>4230.2700000000004</v>
      </c>
    </row>
    <row r="37" spans="2:8" ht="15.75" x14ac:dyDescent="0.25">
      <c r="B37" s="3" t="s">
        <v>18</v>
      </c>
      <c r="C37" s="19">
        <v>0</v>
      </c>
      <c r="D37" s="11">
        <v>0</v>
      </c>
      <c r="E37" s="11">
        <v>0</v>
      </c>
      <c r="F37" s="11">
        <v>0</v>
      </c>
      <c r="G37" s="9"/>
      <c r="H37" s="12">
        <f t="shared" si="0"/>
        <v>0</v>
      </c>
    </row>
    <row r="38" spans="2:8" ht="15.75" x14ac:dyDescent="0.25">
      <c r="B38" s="3" t="s">
        <v>20</v>
      </c>
      <c r="C38" s="19">
        <v>0</v>
      </c>
      <c r="D38" s="11">
        <v>2070</v>
      </c>
      <c r="E38" s="11">
        <v>1060</v>
      </c>
      <c r="F38" s="11">
        <v>120</v>
      </c>
      <c r="G38" s="9"/>
      <c r="H38" s="12">
        <f t="shared" si="0"/>
        <v>3250</v>
      </c>
    </row>
    <row r="39" spans="2:8" ht="15.75" x14ac:dyDescent="0.25">
      <c r="B39" s="3" t="s">
        <v>21</v>
      </c>
      <c r="C39" s="19">
        <v>20</v>
      </c>
      <c r="D39" s="11">
        <v>77.25</v>
      </c>
      <c r="E39" s="11">
        <v>0</v>
      </c>
      <c r="F39" s="11">
        <v>0</v>
      </c>
      <c r="G39" s="9"/>
      <c r="H39" s="12">
        <f t="shared" si="0"/>
        <v>77.25</v>
      </c>
    </row>
    <row r="40" spans="2:8" ht="15.75" x14ac:dyDescent="0.25">
      <c r="B40" s="3" t="s">
        <v>24</v>
      </c>
      <c r="C40" s="19">
        <v>20</v>
      </c>
      <c r="D40" s="11"/>
      <c r="E40" s="11">
        <v>828</v>
      </c>
      <c r="F40" s="11">
        <v>0</v>
      </c>
      <c r="G40" s="9"/>
      <c r="H40" s="12">
        <f t="shared" si="0"/>
        <v>828</v>
      </c>
    </row>
    <row r="41" spans="2:8" ht="15.75" x14ac:dyDescent="0.25">
      <c r="B41" s="3" t="s">
        <v>26</v>
      </c>
      <c r="C41" s="19">
        <v>20</v>
      </c>
      <c r="D41" s="11"/>
      <c r="E41" s="11">
        <v>120</v>
      </c>
      <c r="F41" s="11">
        <v>120</v>
      </c>
      <c r="G41" s="9"/>
      <c r="H41" s="12">
        <f t="shared" si="0"/>
        <v>240</v>
      </c>
    </row>
    <row r="42" spans="2:8" ht="15.75" x14ac:dyDescent="0.25">
      <c r="B42" s="3" t="s">
        <v>28</v>
      </c>
      <c r="C42" s="19">
        <v>20</v>
      </c>
      <c r="D42" s="11"/>
      <c r="E42" s="11">
        <v>42</v>
      </c>
      <c r="F42" s="11">
        <v>42</v>
      </c>
      <c r="G42" s="9"/>
      <c r="H42" s="12">
        <f t="shared" si="0"/>
        <v>84</v>
      </c>
    </row>
    <row r="43" spans="2:8" ht="15.75" x14ac:dyDescent="0.25">
      <c r="B43" s="4" t="s">
        <v>6</v>
      </c>
      <c r="C43" s="19">
        <v>0</v>
      </c>
      <c r="D43" s="14"/>
      <c r="E43" s="14"/>
      <c r="F43" s="14">
        <v>11733.32</v>
      </c>
      <c r="G43" s="9"/>
      <c r="H43" s="15">
        <f t="shared" si="0"/>
        <v>11733.32</v>
      </c>
    </row>
    <row r="44" spans="2:8" ht="15.75" x14ac:dyDescent="0.25">
      <c r="B44" s="5" t="s">
        <v>42</v>
      </c>
      <c r="C44" s="19">
        <v>20</v>
      </c>
      <c r="D44" s="17"/>
      <c r="E44" s="17"/>
      <c r="F44" s="17">
        <v>218.88</v>
      </c>
      <c r="G44" s="9"/>
      <c r="H44" s="17">
        <f t="shared" si="0"/>
        <v>218.88</v>
      </c>
    </row>
    <row r="45" spans="2:8" ht="15.75" x14ac:dyDescent="0.25">
      <c r="B45" s="5" t="s">
        <v>43</v>
      </c>
      <c r="C45" s="19">
        <v>20</v>
      </c>
      <c r="D45" s="17"/>
      <c r="E45" s="17"/>
      <c r="F45" s="17">
        <v>157.80000000000001</v>
      </c>
      <c r="G45" s="9"/>
      <c r="H45" s="17">
        <f t="shared" si="0"/>
        <v>157.80000000000001</v>
      </c>
    </row>
    <row r="46" spans="2:8" ht="15.75" x14ac:dyDescent="0.25">
      <c r="B46" s="5"/>
      <c r="C46" s="19"/>
      <c r="D46" s="17"/>
      <c r="E46" s="17"/>
      <c r="F46" s="17"/>
      <c r="G46" s="17"/>
      <c r="H46" s="17"/>
    </row>
    <row r="47" spans="2:8" ht="15.75" x14ac:dyDescent="0.25">
      <c r="B47" s="5"/>
      <c r="C47" s="19"/>
      <c r="D47" s="17"/>
      <c r="E47" s="17"/>
      <c r="F47" s="17"/>
      <c r="G47" s="17"/>
      <c r="H47" s="17"/>
    </row>
    <row r="48" spans="2:8" ht="15.75" x14ac:dyDescent="0.25">
      <c r="B48" s="5"/>
      <c r="C48" s="19"/>
      <c r="D48" s="17"/>
      <c r="E48" s="17"/>
      <c r="F48" s="17"/>
      <c r="G48" s="17"/>
      <c r="H48" s="17"/>
    </row>
    <row r="49" spans="2:8" ht="15.75" x14ac:dyDescent="0.25">
      <c r="B49" s="5"/>
      <c r="C49" s="19"/>
      <c r="D49" s="17"/>
      <c r="E49" s="17"/>
      <c r="F49" s="17"/>
      <c r="G49" s="17"/>
      <c r="H49" s="17"/>
    </row>
    <row r="50" spans="2:8" ht="15.75" x14ac:dyDescent="0.25">
      <c r="B50" s="5"/>
      <c r="C50" s="19"/>
      <c r="D50" s="17"/>
      <c r="E50" s="17"/>
      <c r="F50" s="17"/>
      <c r="G50" s="17"/>
      <c r="H50" s="17"/>
    </row>
    <row r="51" spans="2:8" ht="15.75" x14ac:dyDescent="0.25">
      <c r="B51" s="5"/>
      <c r="C51" s="19"/>
      <c r="D51" s="17"/>
      <c r="E51" s="17"/>
      <c r="F51" s="17"/>
      <c r="G51" s="17"/>
      <c r="H51" s="17"/>
    </row>
    <row r="52" spans="2:8" ht="15.75" x14ac:dyDescent="0.25">
      <c r="B52" s="5"/>
      <c r="C52" s="19"/>
      <c r="D52" s="17"/>
      <c r="E52" s="17"/>
      <c r="F52" s="17"/>
      <c r="G52" s="17"/>
      <c r="H52" s="17"/>
    </row>
    <row r="53" spans="2:8" ht="15.75" x14ac:dyDescent="0.25">
      <c r="B53" s="5"/>
      <c r="C53" s="19"/>
      <c r="D53" s="17"/>
      <c r="E53" s="17"/>
      <c r="F53" s="17"/>
      <c r="G53" s="17"/>
      <c r="H53" s="17"/>
    </row>
  </sheetData>
  <mergeCells count="16">
    <mergeCell ref="B17:C17"/>
    <mergeCell ref="B16:C16"/>
    <mergeCell ref="B14:C14"/>
    <mergeCell ref="B15:C15"/>
    <mergeCell ref="B10:C10"/>
    <mergeCell ref="B2:H2"/>
    <mergeCell ref="B11:C11"/>
    <mergeCell ref="B4:C4"/>
    <mergeCell ref="B5:C5"/>
    <mergeCell ref="B13:C13"/>
    <mergeCell ref="B3:C3"/>
    <mergeCell ref="B6:C6"/>
    <mergeCell ref="B7:C7"/>
    <mergeCell ref="B12:C12"/>
    <mergeCell ref="B8:C8"/>
    <mergeCell ref="B9:C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2026-10-19T10:51:04Z</dcterms:modified>
</cp:coreProperties>
</file>